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le\OneDrive\Escritorio\Estudio\Plantillas\"/>
    </mc:Choice>
  </mc:AlternateContent>
  <xr:revisionPtr revIDLastSave="0" documentId="8_{C8DBB369-143E-4DF6-B32D-27D06F2E52E6}" xr6:coauthVersionLast="47" xr6:coauthVersionMax="47" xr10:uidLastSave="{00000000-0000-0000-0000-000000000000}"/>
  <bookViews>
    <workbookView xWindow="-108" yWindow="-108" windowWidth="23256" windowHeight="12456" xr2:uid="{82BC81DD-1774-4D3E-990E-54DBF5A79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1" l="1"/>
  <c r="C80" i="1"/>
  <c r="C82" i="1" s="1"/>
  <c r="C85" i="1" s="1"/>
  <c r="B82" i="1"/>
  <c r="B86" i="1"/>
  <c r="B89" i="1"/>
  <c r="B91" i="1"/>
  <c r="D56" i="1"/>
  <c r="E56" i="1"/>
  <c r="D57" i="1"/>
  <c r="D62" i="1" s="1"/>
  <c r="C68" i="1" s="1"/>
  <c r="E57" i="1"/>
  <c r="D58" i="1"/>
  <c r="E58" i="1"/>
  <c r="D59" i="1"/>
  <c r="E59" i="1"/>
  <c r="D60" i="1"/>
  <c r="E60" i="1"/>
  <c r="D61" i="1"/>
  <c r="E61" i="1"/>
  <c r="E62" i="1"/>
  <c r="C69" i="1"/>
  <c r="C70" i="1"/>
  <c r="D46" i="1" l="1"/>
  <c r="D35" i="1"/>
  <c r="D30" i="1"/>
  <c r="D27" i="1"/>
  <c r="D23" i="1"/>
  <c r="D19" i="1"/>
  <c r="D14" i="1"/>
  <c r="D11" i="1"/>
  <c r="D6" i="1"/>
  <c r="D3" i="1"/>
  <c r="C89" i="1"/>
  <c r="C87" i="1"/>
</calcChain>
</file>

<file path=xl/sharedStrings.xml><?xml version="1.0" encoding="utf-8"?>
<sst xmlns="http://schemas.openxmlformats.org/spreadsheetml/2006/main" count="79" uniqueCount="70">
  <si>
    <t>Liquidez</t>
  </si>
  <si>
    <t>Razon corriente</t>
  </si>
  <si>
    <t>Activo Corriente</t>
  </si>
  <si>
    <t>Pasivo Corriente</t>
  </si>
  <si>
    <t xml:space="preserve">Prueba acida </t>
  </si>
  <si>
    <t>$</t>
  </si>
  <si>
    <t>Endeudamiento</t>
  </si>
  <si>
    <t>Capacidad de la empresa para cubrir deudas a corto plazo</t>
  </si>
  <si>
    <t>Capacidad de la empresa para cubrir deudas a corto plazo excluyendo inventarios</t>
  </si>
  <si>
    <t>Razón de Endeudamiento</t>
  </si>
  <si>
    <t>Pasivo Total</t>
  </si>
  <si>
    <t>Activo Total</t>
  </si>
  <si>
    <t>Activos financiados con deuda</t>
  </si>
  <si>
    <t>Apalancamiento</t>
  </si>
  <si>
    <t>Patrimonio</t>
  </si>
  <si>
    <t>Grado en que los socios dependen de financiamiento externo.</t>
  </si>
  <si>
    <t>Rentabilidad</t>
  </si>
  <si>
    <t>Margen Bruto</t>
  </si>
  <si>
    <t>Ventas</t>
  </si>
  <si>
    <t>Costo de Ventas</t>
  </si>
  <si>
    <t>% de las ventas que quedan tras cubrir insumos</t>
  </si>
  <si>
    <t>Margen Operativo</t>
  </si>
  <si>
    <t>Utilidad Operativa</t>
  </si>
  <si>
    <t>Que tan eficiente es la operación sin considerar intereres o impuestos</t>
  </si>
  <si>
    <t>Gestion o Rotacion</t>
  </si>
  <si>
    <t>Rotacion de Inventarios</t>
  </si>
  <si>
    <t>Inventario Promedio</t>
  </si>
  <si>
    <t>Saber cuantas veces se renueva el inventario en cierto periodo de tiempo</t>
  </si>
  <si>
    <t>Rotacion de Activos</t>
  </si>
  <si>
    <t>Valoracion del Proyecto</t>
  </si>
  <si>
    <t>ROI</t>
  </si>
  <si>
    <t>Beneficio</t>
  </si>
  <si>
    <t>Inversion</t>
  </si>
  <si>
    <t>Retorno sobre la inversion</t>
  </si>
  <si>
    <t>TIR</t>
  </si>
  <si>
    <t>Tasa Interna de Retorno</t>
  </si>
  <si>
    <t>TMAR</t>
  </si>
  <si>
    <t>Tasa Minima Aceptable de Rendimiento</t>
  </si>
  <si>
    <t>Punto de equilibrio</t>
  </si>
  <si>
    <t>Costos Fijos</t>
  </si>
  <si>
    <t>Precio</t>
  </si>
  <si>
    <t>Costo Variable Unitario</t>
  </si>
  <si>
    <t>Ni ganancias ni perdidas</t>
  </si>
  <si>
    <t>Tasa mínima exigida (Costo de Capital + Riesgo).</t>
  </si>
  <si>
    <t>Ajustar tasa en celda B11 hasta que VAN (D8) ≈ 0.</t>
  </si>
  <si>
    <t>TIR manual</t>
  </si>
  <si>
    <t>Si VAN &gt; 0 el proyecto es viable.</t>
  </si>
  <si>
    <t>VAN manual</t>
  </si>
  <si>
    <t>Notas</t>
  </si>
  <si>
    <t>Fórmula</t>
  </si>
  <si>
    <t>Indicador</t>
  </si>
  <si>
    <t>Tasa prueba TIR</t>
  </si>
  <si>
    <t>Valor</t>
  </si>
  <si>
    <t>Parametro</t>
  </si>
  <si>
    <t>Flujo Descontado (TIR prueba)</t>
  </si>
  <si>
    <t>Flujo Descontado (VAN)</t>
  </si>
  <si>
    <t>Flujo de Caja</t>
  </si>
  <si>
    <t>Año</t>
  </si>
  <si>
    <t>(-) Impuestos</t>
  </si>
  <si>
    <t>(+) Otros Ingresos</t>
  </si>
  <si>
    <t>(-) Gastos Financieros</t>
  </si>
  <si>
    <t xml:space="preserve">   Gastos de Administración</t>
  </si>
  <si>
    <t xml:space="preserve">   Gastos de Venta</t>
  </si>
  <si>
    <t>(-) Gastos de Operación</t>
  </si>
  <si>
    <t>(-) Costo de Ventas</t>
  </si>
  <si>
    <t>(-) Devoluciones y Rebajas</t>
  </si>
  <si>
    <t>Ingresos por Ventas</t>
  </si>
  <si>
    <t>Monto (Q)</t>
  </si>
  <si>
    <t>Concepto</t>
  </si>
  <si>
    <t>Estado de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</si>
</sst>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250370</xdr:colOff>
      <xdr:row>56</xdr:row>
      <xdr:rowOff>108857</xdr:rowOff>
    </xdr:from>
    <xdr:to>
      <xdr:col>16</xdr:col>
      <xdr:colOff>355840</xdr:colOff>
      <xdr:row>60</xdr:row>
      <xdr:rowOff>159313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F3F1E-D460-4043-820D-74116143D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8913" y="10472057"/>
          <a:ext cx="4982270" cy="790685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381000</xdr:colOff>
      <xdr:row>0</xdr:row>
      <xdr:rowOff>119744</xdr:rowOff>
    </xdr:from>
    <xdr:to>
      <xdr:col>25</xdr:col>
      <xdr:colOff>152400</xdr:colOff>
      <xdr:row>8</xdr:row>
      <xdr:rowOff>6774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D0AC25-8159-BEED-D906-D8D55A8ED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5943" y="119744"/>
          <a:ext cx="4648200" cy="1367487"/>
        </a:xfrm>
        <a:prstGeom prst="rect">
          <a:avLst/>
        </a:prstGeom>
      </xdr:spPr>
    </xdr:pic>
    <xdr:clientData/>
  </xdr:twoCellAnchor>
  <xdr:twoCellAnchor editAs="oneCell">
    <xdr:from>
      <xdr:col>17</xdr:col>
      <xdr:colOff>348343</xdr:colOff>
      <xdr:row>8</xdr:row>
      <xdr:rowOff>174171</xdr:rowOff>
    </xdr:from>
    <xdr:to>
      <xdr:col>26</xdr:col>
      <xdr:colOff>228600</xdr:colOff>
      <xdr:row>15</xdr:row>
      <xdr:rowOff>145482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8086A1-C533-7BA6-9F4B-C65595675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93286" y="1654628"/>
          <a:ext cx="5366657" cy="1266711"/>
        </a:xfrm>
        <a:prstGeom prst="rect">
          <a:avLst/>
        </a:prstGeom>
      </xdr:spPr>
    </xdr:pic>
    <xdr:clientData/>
  </xdr:twoCellAnchor>
  <xdr:twoCellAnchor editAs="oneCell">
    <xdr:from>
      <xdr:col>17</xdr:col>
      <xdr:colOff>446315</xdr:colOff>
      <xdr:row>16</xdr:row>
      <xdr:rowOff>10885</xdr:rowOff>
    </xdr:from>
    <xdr:to>
      <xdr:col>24</xdr:col>
      <xdr:colOff>370114</xdr:colOff>
      <xdr:row>22</xdr:row>
      <xdr:rowOff>148925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BA3075-A3A3-4E74-2A1D-C27DE6273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91258" y="2971799"/>
          <a:ext cx="4190999" cy="1248383"/>
        </a:xfrm>
        <a:prstGeom prst="rect">
          <a:avLst/>
        </a:prstGeom>
      </xdr:spPr>
    </xdr:pic>
    <xdr:clientData/>
  </xdr:twoCellAnchor>
  <xdr:twoCellAnchor editAs="oneCell">
    <xdr:from>
      <xdr:col>17</xdr:col>
      <xdr:colOff>391885</xdr:colOff>
      <xdr:row>23</xdr:row>
      <xdr:rowOff>1</xdr:rowOff>
    </xdr:from>
    <xdr:to>
      <xdr:col>27</xdr:col>
      <xdr:colOff>97971</xdr:colOff>
      <xdr:row>29</xdr:row>
      <xdr:rowOff>117729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02DFAA-23F7-646C-4794-96E771134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36828" y="4256315"/>
          <a:ext cx="5802086" cy="1228071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31</xdr:row>
      <xdr:rowOff>103823</xdr:rowOff>
    </xdr:from>
    <xdr:to>
      <xdr:col>27</xdr:col>
      <xdr:colOff>413340</xdr:colOff>
      <xdr:row>38</xdr:row>
      <xdr:rowOff>173045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FFA5E9-8093-D61F-11C8-1A82D8F6F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02143" y="5840594"/>
          <a:ext cx="6052140" cy="1364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6DDB-DCDC-422E-81BE-7168CE0C11ED}">
  <dimension ref="B2:J91"/>
  <sheetViews>
    <sheetView tabSelected="1" topLeftCell="A70" zoomScale="130" zoomScaleNormal="130" workbookViewId="0">
      <selection activeCell="B76" sqref="B76:C91"/>
    </sheetView>
  </sheetViews>
  <sheetFormatPr defaultRowHeight="14.4" x14ac:dyDescent="0.3"/>
  <cols>
    <col min="3" max="3" width="12.6640625" customWidth="1"/>
    <col min="6" max="6" width="18" customWidth="1"/>
  </cols>
  <sheetData>
    <row r="2" spans="2:10" x14ac:dyDescent="0.3">
      <c r="B2" s="1" t="s">
        <v>0</v>
      </c>
      <c r="G2" t="s">
        <v>5</v>
      </c>
    </row>
    <row r="3" spans="2:10" x14ac:dyDescent="0.3">
      <c r="B3" t="s">
        <v>1</v>
      </c>
      <c r="D3">
        <f>G3/G4</f>
        <v>10</v>
      </c>
      <c r="F3" t="s">
        <v>2</v>
      </c>
      <c r="G3">
        <v>15000</v>
      </c>
      <c r="J3" t="s">
        <v>7</v>
      </c>
    </row>
    <row r="4" spans="2:10" x14ac:dyDescent="0.3">
      <c r="F4" t="s">
        <v>3</v>
      </c>
      <c r="G4">
        <v>1500</v>
      </c>
    </row>
    <row r="6" spans="2:10" x14ac:dyDescent="0.3">
      <c r="B6" t="s">
        <v>4</v>
      </c>
      <c r="D6">
        <f>G6/G7</f>
        <v>10</v>
      </c>
      <c r="F6" t="s">
        <v>2</v>
      </c>
      <c r="G6">
        <v>15000</v>
      </c>
      <c r="J6" t="s">
        <v>8</v>
      </c>
    </row>
    <row r="7" spans="2:10" x14ac:dyDescent="0.3">
      <c r="F7" t="s">
        <v>3</v>
      </c>
      <c r="G7">
        <v>1500</v>
      </c>
    </row>
    <row r="10" spans="2:10" x14ac:dyDescent="0.3">
      <c r="B10" s="1" t="s">
        <v>6</v>
      </c>
    </row>
    <row r="11" spans="2:10" x14ac:dyDescent="0.3">
      <c r="B11" t="s">
        <v>9</v>
      </c>
      <c r="D11" t="e">
        <f>G11/G12</f>
        <v>#DIV/0!</v>
      </c>
      <c r="F11" t="s">
        <v>10</v>
      </c>
      <c r="J11" t="s">
        <v>12</v>
      </c>
    </row>
    <row r="12" spans="2:10" x14ac:dyDescent="0.3">
      <c r="F12" t="s">
        <v>11</v>
      </c>
    </row>
    <row r="14" spans="2:10" x14ac:dyDescent="0.3">
      <c r="B14" t="s">
        <v>13</v>
      </c>
      <c r="D14" t="e">
        <f>G14/G15</f>
        <v>#DIV/0!</v>
      </c>
      <c r="F14" t="s">
        <v>10</v>
      </c>
      <c r="J14" t="s">
        <v>15</v>
      </c>
    </row>
    <row r="15" spans="2:10" x14ac:dyDescent="0.3">
      <c r="F15" t="s">
        <v>14</v>
      </c>
    </row>
    <row r="18" spans="2:10" x14ac:dyDescent="0.3">
      <c r="B18" s="1" t="s">
        <v>16</v>
      </c>
    </row>
    <row r="19" spans="2:10" x14ac:dyDescent="0.3">
      <c r="B19" t="s">
        <v>17</v>
      </c>
      <c r="D19" t="e">
        <f>(F19-F20)/F19</f>
        <v>#VALUE!</v>
      </c>
      <c r="F19" t="s">
        <v>18</v>
      </c>
      <c r="J19" t="s">
        <v>20</v>
      </c>
    </row>
    <row r="20" spans="2:10" x14ac:dyDescent="0.3">
      <c r="F20" t="s">
        <v>19</v>
      </c>
    </row>
    <row r="23" spans="2:10" x14ac:dyDescent="0.3">
      <c r="B23" t="s">
        <v>21</v>
      </c>
      <c r="D23" t="e">
        <f>G23/G24</f>
        <v>#DIV/0!</v>
      </c>
      <c r="F23" t="s">
        <v>22</v>
      </c>
      <c r="J23" t="s">
        <v>23</v>
      </c>
    </row>
    <row r="24" spans="2:10" x14ac:dyDescent="0.3">
      <c r="F24" t="s">
        <v>18</v>
      </c>
    </row>
    <row r="26" spans="2:10" x14ac:dyDescent="0.3">
      <c r="B26" s="1" t="s">
        <v>24</v>
      </c>
    </row>
    <row r="27" spans="2:10" x14ac:dyDescent="0.3">
      <c r="B27" t="s">
        <v>25</v>
      </c>
      <c r="D27" t="e">
        <f>G27/G28</f>
        <v>#DIV/0!</v>
      </c>
      <c r="F27" t="s">
        <v>19</v>
      </c>
      <c r="J27" t="s">
        <v>27</v>
      </c>
    </row>
    <row r="28" spans="2:10" x14ac:dyDescent="0.3">
      <c r="F28" t="s">
        <v>26</v>
      </c>
    </row>
    <row r="30" spans="2:10" x14ac:dyDescent="0.3">
      <c r="B30" t="s">
        <v>28</v>
      </c>
      <c r="D30" t="e">
        <f>G30/G31</f>
        <v>#DIV/0!</v>
      </c>
      <c r="F30" t="s">
        <v>18</v>
      </c>
    </row>
    <row r="31" spans="2:10" x14ac:dyDescent="0.3">
      <c r="F31" t="s">
        <v>11</v>
      </c>
    </row>
    <row r="34" spans="2:10" x14ac:dyDescent="0.3">
      <c r="B34" s="1" t="s">
        <v>29</v>
      </c>
    </row>
    <row r="35" spans="2:10" x14ac:dyDescent="0.3">
      <c r="B35" t="s">
        <v>30</v>
      </c>
      <c r="D35" t="e">
        <f>(G35-G36)/G36</f>
        <v>#DIV/0!</v>
      </c>
      <c r="F35" t="s">
        <v>31</v>
      </c>
      <c r="J35" t="s">
        <v>33</v>
      </c>
    </row>
    <row r="36" spans="2:10" x14ac:dyDescent="0.3">
      <c r="F36" t="s">
        <v>32</v>
      </c>
    </row>
    <row r="38" spans="2:10" x14ac:dyDescent="0.3">
      <c r="B38" t="s">
        <v>34</v>
      </c>
      <c r="J38" t="s">
        <v>35</v>
      </c>
    </row>
    <row r="42" spans="2:10" x14ac:dyDescent="0.3">
      <c r="B42" t="s">
        <v>36</v>
      </c>
      <c r="J42" t="s">
        <v>37</v>
      </c>
    </row>
    <row r="46" spans="2:10" x14ac:dyDescent="0.3">
      <c r="B46" t="s">
        <v>38</v>
      </c>
      <c r="D46" t="e">
        <f>G46/(G47-G48)</f>
        <v>#DIV/0!</v>
      </c>
      <c r="F46" t="s">
        <v>39</v>
      </c>
      <c r="J46" t="s">
        <v>42</v>
      </c>
    </row>
    <row r="47" spans="2:10" x14ac:dyDescent="0.3">
      <c r="F47" t="s">
        <v>40</v>
      </c>
    </row>
    <row r="48" spans="2:10" x14ac:dyDescent="0.3">
      <c r="F48" t="s">
        <v>41</v>
      </c>
    </row>
    <row r="55" spans="2:5" x14ac:dyDescent="0.3">
      <c r="B55" t="s">
        <v>57</v>
      </c>
      <c r="C55" t="s">
        <v>56</v>
      </c>
      <c r="D55" t="s">
        <v>55</v>
      </c>
      <c r="E55" t="s">
        <v>54</v>
      </c>
    </row>
    <row r="56" spans="2:5" x14ac:dyDescent="0.3">
      <c r="B56">
        <v>0</v>
      </c>
      <c r="C56">
        <v>-50000</v>
      </c>
      <c r="D56">
        <f>C56</f>
        <v>-50000</v>
      </c>
      <c r="E56">
        <f>C56</f>
        <v>-50000</v>
      </c>
    </row>
    <row r="57" spans="2:5" x14ac:dyDescent="0.3">
      <c r="B57">
        <v>1</v>
      </c>
      <c r="C57">
        <v>15000</v>
      </c>
      <c r="D57">
        <f>C57/(1+$C$64)^B57</f>
        <v>13636.363636363636</v>
      </c>
      <c r="E57">
        <f>C57/(1+$C$65)^B57</f>
        <v>12500</v>
      </c>
    </row>
    <row r="58" spans="2:5" x14ac:dyDescent="0.3">
      <c r="B58">
        <v>2</v>
      </c>
      <c r="C58">
        <v>18000</v>
      </c>
      <c r="D58">
        <f>C58/(1+$C$64)^B58</f>
        <v>14876.033057851237</v>
      </c>
      <c r="E58">
        <f>C58/(1+$C$65)^B58</f>
        <v>12500</v>
      </c>
    </row>
    <row r="59" spans="2:5" x14ac:dyDescent="0.3">
      <c r="B59">
        <v>3</v>
      </c>
      <c r="C59">
        <v>20000</v>
      </c>
      <c r="D59">
        <f>C59/(1+$C$64)^B59</f>
        <v>15026.296018031551</v>
      </c>
      <c r="E59">
        <f>C59/(1+$C$65)^B59</f>
        <v>11574.074074074075</v>
      </c>
    </row>
    <row r="60" spans="2:5" x14ac:dyDescent="0.3">
      <c r="B60">
        <v>4</v>
      </c>
      <c r="C60">
        <v>22000</v>
      </c>
      <c r="D60">
        <f>C60/(1+$C$64)^B60</f>
        <v>15026.296018031551</v>
      </c>
      <c r="E60">
        <f>C60/(1+$C$65)^B60</f>
        <v>10609.567901234568</v>
      </c>
    </row>
    <row r="61" spans="2:5" x14ac:dyDescent="0.3">
      <c r="B61">
        <v>5</v>
      </c>
      <c r="C61">
        <v>25000</v>
      </c>
      <c r="D61">
        <f>C61/(1+$C$64)^B61</f>
        <v>15523.033076478874</v>
      </c>
      <c r="E61">
        <f>C61/(1+$C$65)^B61</f>
        <v>10046.939300411523</v>
      </c>
    </row>
    <row r="62" spans="2:5" x14ac:dyDescent="0.3">
      <c r="D62">
        <f>SUM(D57:D61)+C56</f>
        <v>24088.021806756849</v>
      </c>
      <c r="E62">
        <f>SUM(E57:E61)+C56</f>
        <v>7230.5812757201638</v>
      </c>
    </row>
    <row r="63" spans="2:5" x14ac:dyDescent="0.3">
      <c r="B63" t="s">
        <v>53</v>
      </c>
      <c r="C63" t="s">
        <v>52</v>
      </c>
    </row>
    <row r="64" spans="2:5" x14ac:dyDescent="0.3">
      <c r="B64" t="s">
        <v>36</v>
      </c>
      <c r="C64">
        <v>0.1</v>
      </c>
    </row>
    <row r="65" spans="2:4" x14ac:dyDescent="0.3">
      <c r="B65" t="s">
        <v>51</v>
      </c>
      <c r="C65">
        <v>0.2</v>
      </c>
    </row>
    <row r="67" spans="2:4" x14ac:dyDescent="0.3">
      <c r="B67" t="s">
        <v>50</v>
      </c>
      <c r="C67" t="s">
        <v>49</v>
      </c>
      <c r="D67" t="s">
        <v>48</v>
      </c>
    </row>
    <row r="68" spans="2:4" x14ac:dyDescent="0.3">
      <c r="B68" t="s">
        <v>47</v>
      </c>
      <c r="C68">
        <f>D62</f>
        <v>24088.021806756849</v>
      </c>
      <c r="D68" t="s">
        <v>46</v>
      </c>
    </row>
    <row r="69" spans="2:4" x14ac:dyDescent="0.3">
      <c r="B69" t="s">
        <v>45</v>
      </c>
      <c r="C69">
        <f>E62</f>
        <v>7230.5812757201638</v>
      </c>
      <c r="D69" t="s">
        <v>44</v>
      </c>
    </row>
    <row r="70" spans="2:4" x14ac:dyDescent="0.3">
      <c r="B70" t="s">
        <v>36</v>
      </c>
      <c r="C70">
        <f>C64</f>
        <v>0.1</v>
      </c>
      <c r="D70" t="s">
        <v>43</v>
      </c>
    </row>
    <row r="76" spans="2:4" x14ac:dyDescent="0.3">
      <c r="B76" t="s">
        <v>69</v>
      </c>
    </row>
    <row r="77" spans="2:4" x14ac:dyDescent="0.3">
      <c r="B77" t="s">
        <v>68</v>
      </c>
      <c r="C77" t="s">
        <v>67</v>
      </c>
    </row>
    <row r="78" spans="2:4" x14ac:dyDescent="0.3">
      <c r="B78" t="s">
        <v>66</v>
      </c>
    </row>
    <row r="79" spans="2:4" x14ac:dyDescent="0.3">
      <c r="B79" t="s">
        <v>65</v>
      </c>
    </row>
    <row r="80" spans="2:4" x14ac:dyDescent="0.3">
      <c r="B80" t="e">
        <f>Ventas Netas</f>
        <v>#NAME?</v>
      </c>
      <c r="C80">
        <f>C78-C79</f>
        <v>0</v>
      </c>
    </row>
    <row r="81" spans="2:3" x14ac:dyDescent="0.3">
      <c r="B81" t="s">
        <v>64</v>
      </c>
    </row>
    <row r="82" spans="2:3" x14ac:dyDescent="0.3">
      <c r="B82" t="e">
        <f>Utilidad Bruta</f>
        <v>#NAME?</v>
      </c>
      <c r="C82">
        <f>C80-C81</f>
        <v>0</v>
      </c>
    </row>
    <row r="83" spans="2:3" x14ac:dyDescent="0.3">
      <c r="B83" t="s">
        <v>63</v>
      </c>
    </row>
    <row r="84" spans="2:3" x14ac:dyDescent="0.3">
      <c r="B84" t="s">
        <v>62</v>
      </c>
    </row>
    <row r="85" spans="2:3" x14ac:dyDescent="0.3">
      <c r="B85" t="s">
        <v>61</v>
      </c>
      <c r="C85">
        <f>C82-(C83+C84)</f>
        <v>0</v>
      </c>
    </row>
    <row r="86" spans="2:3" x14ac:dyDescent="0.3">
      <c r="B86" t="e">
        <f>Utilidad Operativa</f>
        <v>#NAME?</v>
      </c>
    </row>
    <row r="87" spans="2:3" x14ac:dyDescent="0.3">
      <c r="B87" t="s">
        <v>60</v>
      </c>
      <c r="C87" t="str">
        <f ca="1">C85-C86+C87</f>
        <v/>
      </c>
    </row>
    <row r="88" spans="2:3" x14ac:dyDescent="0.3">
      <c r="B88" t="s">
        <v>59</v>
      </c>
    </row>
    <row r="89" spans="2:3" x14ac:dyDescent="0.3">
      <c r="B89" t="e">
        <f>Utilidad Antes de Impuestos</f>
        <v>#NAME?</v>
      </c>
      <c r="C89" t="str">
        <f ca="1">C87-C88</f>
        <v/>
      </c>
    </row>
    <row r="90" spans="2:3" x14ac:dyDescent="0.3">
      <c r="B90" t="s">
        <v>58</v>
      </c>
    </row>
    <row r="91" spans="2:3" x14ac:dyDescent="0.3">
      <c r="B91" t="e">
        <f>Utilidad Neta</f>
        <v>#NAME?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Jose De Leon</dc:creator>
  <cp:lastModifiedBy>Chang, Jose De Leon</cp:lastModifiedBy>
  <dcterms:created xsi:type="dcterms:W3CDTF">2025-09-04T19:28:23Z</dcterms:created>
  <dcterms:modified xsi:type="dcterms:W3CDTF">2025-09-04T20:29:40Z</dcterms:modified>
</cp:coreProperties>
</file>