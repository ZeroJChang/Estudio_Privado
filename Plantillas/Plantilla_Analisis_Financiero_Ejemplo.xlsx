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dele\Downloads\"/>
    </mc:Choice>
  </mc:AlternateContent>
  <xr:revisionPtr revIDLastSave="0" documentId="13_ncr:1_{C3018B34-3412-4050-AEB1-08D611B20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álisis Financie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6" i="1"/>
  <c r="E5" i="1"/>
  <c r="E13" i="1"/>
  <c r="E12" i="1"/>
  <c r="E11" i="1"/>
  <c r="E10" i="1"/>
  <c r="E9" i="1"/>
</calcChain>
</file>

<file path=xl/sharedStrings.xml><?xml version="1.0" encoding="utf-8"?>
<sst xmlns="http://schemas.openxmlformats.org/spreadsheetml/2006/main" count="28" uniqueCount="28">
  <si>
    <t>Plantilla de Análisis Financiero - ROI, TIR, TMAR y Razones Financieras</t>
  </si>
  <si>
    <t>Parámetro</t>
  </si>
  <si>
    <t>Valor</t>
  </si>
  <si>
    <t>Resultados</t>
  </si>
  <si>
    <t>Inversión Inicial</t>
  </si>
  <si>
    <t>VPN</t>
  </si>
  <si>
    <t>Flujos de Efectivo (años)</t>
  </si>
  <si>
    <t>TIR</t>
  </si>
  <si>
    <t>TMAR (%)</t>
  </si>
  <si>
    <t>ROI</t>
  </si>
  <si>
    <t>Flujo Año 1</t>
  </si>
  <si>
    <t>Flujo Año 2</t>
  </si>
  <si>
    <t>Razones Financieras</t>
  </si>
  <si>
    <t>Flujo Año 3</t>
  </si>
  <si>
    <t>Liquidez Corriente</t>
  </si>
  <si>
    <t>Flujo Año 4</t>
  </si>
  <si>
    <t>Prueba Ácida</t>
  </si>
  <si>
    <t>Flujo Año 5</t>
  </si>
  <si>
    <t>Endeudamiento</t>
  </si>
  <si>
    <t>Rentabilidad sobre Activos (ROA)</t>
  </si>
  <si>
    <t>Rentabilidad sobre Patrimonio (ROE)</t>
  </si>
  <si>
    <t>Activo Corriente</t>
  </si>
  <si>
    <t>Pasivo Corriente</t>
  </si>
  <si>
    <t>Inventario</t>
  </si>
  <si>
    <t>Pasivo Total</t>
  </si>
  <si>
    <t>Activo Total</t>
  </si>
  <si>
    <t>Utilidad Neta</t>
  </si>
  <si>
    <t>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</si>
</sst>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9" sqref="E9"/>
    </sheetView>
  </sheetViews>
  <sheetFormatPr defaultRowHeight="14.4" x14ac:dyDescent="0.3"/>
  <cols>
    <col min="1" max="5" width="20" customWidth="1"/>
  </cols>
  <sheetData>
    <row r="1" spans="1:5" ht="18" x14ac:dyDescent="0.35">
      <c r="A1" s="2" t="s">
        <v>0</v>
      </c>
      <c r="B1" s="3"/>
      <c r="C1" s="3"/>
      <c r="D1" s="3"/>
      <c r="E1" s="3"/>
    </row>
    <row r="3" spans="1:5" x14ac:dyDescent="0.3">
      <c r="A3" s="1" t="s">
        <v>1</v>
      </c>
      <c r="B3" s="1" t="s">
        <v>2</v>
      </c>
      <c r="D3" s="1" t="s">
        <v>3</v>
      </c>
    </row>
    <row r="4" spans="1:5" x14ac:dyDescent="0.3">
      <c r="A4" t="s">
        <v>4</v>
      </c>
      <c r="B4">
        <v>-100000</v>
      </c>
      <c r="D4" t="s">
        <v>5</v>
      </c>
      <c r="E4" s="5">
        <f>NPV(B6/100,B7:B11)+B4</f>
        <v>40128.366226683778</v>
      </c>
    </row>
    <row r="5" spans="1:5" x14ac:dyDescent="0.3">
      <c r="A5" t="s">
        <v>6</v>
      </c>
      <c r="D5" t="s">
        <v>7</v>
      </c>
      <c r="E5" s="4">
        <f>IRR(B4:B11)</f>
        <v>0.18502830808480386</v>
      </c>
    </row>
    <row r="6" spans="1:5" x14ac:dyDescent="0.3">
      <c r="A6" t="s">
        <v>8</v>
      </c>
      <c r="B6">
        <v>12</v>
      </c>
      <c r="D6" t="s">
        <v>9</v>
      </c>
      <c r="E6">
        <f>(SUM(B7:B11)+B4)/ABS(B4)</f>
        <v>1</v>
      </c>
    </row>
    <row r="7" spans="1:5" x14ac:dyDescent="0.3">
      <c r="A7" t="s">
        <v>10</v>
      </c>
      <c r="B7">
        <v>30000</v>
      </c>
    </row>
    <row r="8" spans="1:5" x14ac:dyDescent="0.3">
      <c r="A8" t="s">
        <v>11</v>
      </c>
      <c r="B8">
        <v>35000</v>
      </c>
      <c r="D8" s="1" t="s">
        <v>12</v>
      </c>
    </row>
    <row r="9" spans="1:5" x14ac:dyDescent="0.3">
      <c r="A9" t="s">
        <v>13</v>
      </c>
      <c r="B9">
        <v>40000</v>
      </c>
      <c r="D9" t="s">
        <v>14</v>
      </c>
      <c r="E9">
        <f>(B20/B21)</f>
        <v>2</v>
      </c>
    </row>
    <row r="10" spans="1:5" x14ac:dyDescent="0.3">
      <c r="A10" t="s">
        <v>15</v>
      </c>
      <c r="B10">
        <v>45000</v>
      </c>
      <c r="D10" t="s">
        <v>16</v>
      </c>
      <c r="E10">
        <f>(B20-B22)/B21</f>
        <v>1.5</v>
      </c>
    </row>
    <row r="11" spans="1:5" x14ac:dyDescent="0.3">
      <c r="A11" t="s">
        <v>17</v>
      </c>
      <c r="B11">
        <v>50000</v>
      </c>
      <c r="D11" t="s">
        <v>18</v>
      </c>
      <c r="E11">
        <f>B23/(B23+B24)</f>
        <v>0.32432432432432434</v>
      </c>
    </row>
    <row r="12" spans="1:5" x14ac:dyDescent="0.3">
      <c r="D12" t="s">
        <v>19</v>
      </c>
      <c r="E12">
        <f>B25/B24</f>
        <v>0.2</v>
      </c>
    </row>
    <row r="13" spans="1:5" x14ac:dyDescent="0.3">
      <c r="D13" t="s">
        <v>20</v>
      </c>
      <c r="E13">
        <f>B25/B26</f>
        <v>0.38461538461538464</v>
      </c>
    </row>
    <row r="20" spans="1:2" x14ac:dyDescent="0.3">
      <c r="A20" t="s">
        <v>21</v>
      </c>
      <c r="B20">
        <v>80000</v>
      </c>
    </row>
    <row r="21" spans="1:2" x14ac:dyDescent="0.3">
      <c r="A21" t="s">
        <v>22</v>
      </c>
      <c r="B21">
        <v>40000</v>
      </c>
    </row>
    <row r="22" spans="1:2" x14ac:dyDescent="0.3">
      <c r="A22" t="s">
        <v>23</v>
      </c>
      <c r="B22">
        <v>20000</v>
      </c>
    </row>
    <row r="23" spans="1:2" x14ac:dyDescent="0.3">
      <c r="A23" t="s">
        <v>24</v>
      </c>
      <c r="B23">
        <v>120000</v>
      </c>
    </row>
    <row r="24" spans="1:2" x14ac:dyDescent="0.3">
      <c r="A24" t="s">
        <v>25</v>
      </c>
      <c r="B24">
        <v>250000</v>
      </c>
    </row>
    <row r="25" spans="1:2" x14ac:dyDescent="0.3">
      <c r="A25" t="s">
        <v>26</v>
      </c>
      <c r="B25">
        <v>50000</v>
      </c>
    </row>
    <row r="26" spans="1:2" x14ac:dyDescent="0.3">
      <c r="A26" t="s">
        <v>27</v>
      </c>
      <c r="B26">
        <v>130000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Financiero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Chang, Jose De Leon</cp:lastModifiedBy>
  <dcterms:created xsi:type="dcterms:W3CDTF">2025-08-27T19:16:34Z</dcterms:created>
  <dcterms:modified xsi:type="dcterms:W3CDTF">2025-08-27T19:23:18Z</dcterms:modified>
</cp:coreProperties>
</file>