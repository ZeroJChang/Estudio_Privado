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Plantilla de Análisis Financiero - ROI, TIR, TMAR y Razones Financieras</t>
        </is>
      </c>
    </row>
    <row r="3">
      <c r="A3" s="2" t="inlineStr">
        <is>
          <t>Parámetro</t>
        </is>
      </c>
      <c r="B3" s="2" t="inlineStr">
        <is>
          <t>Valor</t>
        </is>
      </c>
      <c r="D3" s="2" t="inlineStr">
        <is>
          <t>Resultados</t>
        </is>
      </c>
    </row>
    <row r="4">
      <c r="A4" t="inlineStr">
        <is>
          <t>Inversión Inicial</t>
        </is>
      </c>
      <c r="D4" t="inlineStr">
        <is>
          <t>VPN</t>
        </is>
      </c>
      <c r="E4">
        <f>NPV(B6/100,B8:B12)-B4</f>
        <v/>
      </c>
    </row>
    <row r="5">
      <c r="A5" t="inlineStr">
        <is>
          <t>Flujos de Efectivo (años)</t>
        </is>
      </c>
      <c r="D5" t="inlineStr">
        <is>
          <t>TIR</t>
        </is>
      </c>
      <c r="E5">
        <f>IRR(B7:B12)</f>
        <v/>
      </c>
    </row>
    <row r="6">
      <c r="A6" t="inlineStr">
        <is>
          <t>TMAR (%)</t>
        </is>
      </c>
      <c r="D6" t="inlineStr">
        <is>
          <t>ROI</t>
        </is>
      </c>
      <c r="E6">
        <f>(SUM(B7:B12)-B4)/B4</f>
        <v/>
      </c>
    </row>
    <row r="7">
      <c r="A7" t="inlineStr">
        <is>
          <t>Flujo Año 1</t>
        </is>
      </c>
      <c r="B7" t="n">
        <v>0</v>
      </c>
    </row>
    <row r="8">
      <c r="A8" t="inlineStr">
        <is>
          <t>Flujo Año 2</t>
        </is>
      </c>
      <c r="B8" t="n">
        <v>0</v>
      </c>
      <c r="D8" s="2" t="inlineStr">
        <is>
          <t>Razones Financieras</t>
        </is>
      </c>
    </row>
    <row r="9">
      <c r="A9" t="inlineStr">
        <is>
          <t>Flujo Año 3</t>
        </is>
      </c>
      <c r="B9" t="n">
        <v>0</v>
      </c>
      <c r="D9" t="inlineStr">
        <is>
          <t>Liquidez Corriente</t>
        </is>
      </c>
      <c r="E9">
        <f>(B20/B21)</f>
        <v/>
      </c>
    </row>
    <row r="10">
      <c r="A10" t="inlineStr">
        <is>
          <t>Flujo Año 4</t>
        </is>
      </c>
      <c r="B10" t="n">
        <v>0</v>
      </c>
      <c r="D10" t="inlineStr">
        <is>
          <t>Prueba Ácida</t>
        </is>
      </c>
      <c r="E10">
        <f>(B20-B22)/B21</f>
        <v/>
      </c>
    </row>
    <row r="11">
      <c r="A11" t="inlineStr">
        <is>
          <t>Flujo Año 5</t>
        </is>
      </c>
      <c r="B11" t="n">
        <v>0</v>
      </c>
      <c r="D11" t="inlineStr">
        <is>
          <t>Endeudamiento</t>
        </is>
      </c>
      <c r="E11">
        <f>B23/(B23+B24)</f>
        <v/>
      </c>
    </row>
    <row r="12">
      <c r="D12" t="inlineStr">
        <is>
          <t>Rentabilidad sobre Activos (ROA)</t>
        </is>
      </c>
      <c r="E12">
        <f>B25/B24</f>
        <v/>
      </c>
    </row>
    <row r="13">
      <c r="D13" t="inlineStr">
        <is>
          <t>Rentabilidad sobre Patrimonio (ROE)</t>
        </is>
      </c>
      <c r="E13">
        <f>B25/B26</f>
        <v/>
      </c>
    </row>
    <row r="20">
      <c r="A20" t="inlineStr">
        <is>
          <t>Activo Corriente</t>
        </is>
      </c>
    </row>
    <row r="21">
      <c r="A21" t="inlineStr">
        <is>
          <t>Pasivo Corriente</t>
        </is>
      </c>
    </row>
    <row r="22">
      <c r="A22" t="inlineStr">
        <is>
          <t>Inventario</t>
        </is>
      </c>
    </row>
    <row r="23">
      <c r="A23" t="inlineStr">
        <is>
          <t>Pasivo Total</t>
        </is>
      </c>
    </row>
    <row r="24">
      <c r="A24" t="inlineStr">
        <is>
          <t>Activo Total</t>
        </is>
      </c>
    </row>
    <row r="25">
      <c r="A25" t="inlineStr">
        <is>
          <t>Utilidad Neta</t>
        </is>
      </c>
    </row>
    <row r="26">
      <c r="A26" t="inlineStr">
        <is>
          <t>Patrimonio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2025-08-27T19:16:34Z</dcterms:created>
  <dcterms:modified xmlns:dcterms="http://purl.org/dc/terms/" xmlns:xsi="http://www.w3.org/2001/XMLSchema-instance" xsi:type="dcterms:W3CDTF">2025-08-27T19:16:34Z</dcterms:modified>
</cp:coreProperties>
</file>